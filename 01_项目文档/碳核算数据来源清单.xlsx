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碳核算数据来源清单" sheetId="1" r:id="rId1"/>
    <sheet name="范围一排放因子速查" sheetId="2" r:id="rId2"/>
    <sheet name="三账核算输入对照" sheetId="3" r:id="rId3"/>
    <sheet name="模块二关键结果" sheetId="4" r:id="rId4"/>
  </sheets>
  <definedNames>
    <definedName name="_xlnm._FilterDatabase" localSheetId="0" hidden="1">碳核算数据来源清单!$A$3:$H$48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<sst xmlns="http://schemas.openxmlformats.org/spreadsheetml/2006/main" count="468" uniqueCount="357">
  <si>
    <t>模块三碳核算——数据来源与参数清单（基于模块二改进版）</t>
  </si>
  <si>
    <t>数据质量等级：A级=实测/官方公告（可直接用于正式报告）  B级=学术文献/行业统计（可用于报告，标注来源）  C级=模型构造/行业默认（需显著标记，仅用于研究分析）</t>
  </si>
  <si>
    <t>序号</t>
  </si>
  <si>
    <t>数据/参数名称</t>
  </si>
  <si>
    <t>符号</t>
  </si>
  <si>
    <t>取值</t>
  </si>
  <si>
    <t>单位</t>
  </si>
  <si>
    <t>数据来源</t>
  </si>
  <si>
    <t>质量等级</t>
  </si>
  <si>
    <t>用途说明</t>
  </si>
  <si>
    <t>一、项目实测/已有数据（A级）</t>
  </si>
  <si>
    <t>厂区逐时负荷</t>
  </si>
  <si>
    <t>P_load(t)</t>
  </si>
  <si>
    <t>365天全年，年总7043万kWh</t>
  </si>
  <si>
    <t>kWh/h</t>
  </si>
  <si>
    <t>中嘉污水厂实测，模块一负荷预测输入，时间范围2025-07~2026-06</t>
  </si>
  <si>
    <t>A</t>
  </si>
  <si>
    <t>范围二基准排放、项目排放的活动数据</t>
  </si>
  <si>
    <t>三站光伏逐时发电量</t>
  </si>
  <si>
    <t>P_PV(t)</t>
  </si>
  <si>
    <t>一期+二期+车棚，合计年约876万kWh（实测）；模块二仿真按12.2MW规划装机年发电1643万kWh</t>
  </si>
  <si>
    <t>三站光伏逆变器/发电表实测（已整理为宽表）；模块二按池顶30ha面积上限规划12.2MW</t>
  </si>
  <si>
    <t>光伏自发自用量核算、绿电追踪</t>
  </si>
  <si>
    <t>光伏逐时自用量</t>
  </si>
  <si>
    <t>P_PV_self(t)</t>
  </si>
  <si>
    <t>三站合计年自用约933万kWh，自用率94.0%</t>
  </si>
  <si>
    <t>三站消纳分析数据已透视填充（一期414天/二期414天/车棚323天）</t>
  </si>
  <si>
    <t>范围二购电量扣减、绿电占比核算</t>
  </si>
  <si>
    <t>光伏逐时上网电量</t>
  </si>
  <si>
    <t>P_PV_sell(t)</t>
  </si>
  <si>
    <t>三站合计年上网约59万kWh（一期52万+二期7万+车棚0）</t>
  </si>
  <si>
    <t>三站关口反向计量表</t>
  </si>
  <si>
    <t>按燃煤基准价结算，不直接抵扣排放（需绿证/碳普惠凭证）</t>
  </si>
  <si>
    <t>节点电价（日前+实时）</t>
  </si>
  <si>
    <t>Price(t)</t>
  </si>
  <si>
    <t>广东电力交易中心分时电价</t>
  </si>
  <si>
    <t>元/kWh</t>
  </si>
  <si>
    <t>广东电力交易中心发布，用户提供</t>
  </si>
  <si>
    <t>购电成本核算、EF_opt(t)构造数据源</t>
  </si>
  <si>
    <t>模块二储能逐时调度曲线</t>
  </si>
  <si>
    <t>P_ch(t)/P_dis(t)/SOC(t)</t>
  </si>
  <si>
    <t>储能4MWh/2MW，linprog+双模式滞回输出</t>
  </si>
  <si>
    <t>kW/%</t>
  </si>
  <si>
    <t>模块二优化调度仿真结果</t>
  </si>
  <si>
    <t>项目情景碳核算：储能充电排放、放电替代、辅助电耗</t>
  </si>
  <si>
    <t>关口净购电量（推导）</t>
  </si>
  <si>
    <t>E_grid(t)</t>
  </si>
  <si>
    <t>由实测负荷+光伏自用+模块二储能调度逐时计算</t>
  </si>
  <si>
    <t>范围二外购电力排放的核心活动数据</t>
  </si>
  <si>
    <t>柔性负荷调度量</t>
  </si>
  <si>
    <t>P_flex(t)</t>
  </si>
  <si>
    <t>全年曝气下调301万kWh（占负荷4.27%），安全模式65天/节能模式300天</t>
  </si>
  <si>
    <t>模块二双模式滞回状态机输出</t>
  </si>
  <si>
    <t>基准与项目情景负荷一致性校验</t>
  </si>
  <si>
    <t>二、官方标准/排放因子公告（A级）</t>
  </si>
  <si>
    <t>广东省电力CO₂排放因子</t>
  </si>
  <si>
    <t>EF_report</t>
  </si>
  <si>
    <t>0.4419</t>
  </si>
  <si>
    <t>kgCO₂/kWh</t>
  </si>
  <si>
    <t>生态环境部、国家统计局《关于发布2023年电力二氧化碳排放因子的公告》（公告2025年第47号）</t>
  </si>
  <si>
    <t>企业清单范围二正式报告因子，年度固定</t>
  </si>
  <si>
    <t>全国电力CO₂排放因子</t>
  </si>
  <si>
    <t>—</t>
  </si>
  <si>
    <t>0.5306</t>
  </si>
  <si>
    <t>同上公告</t>
  </si>
  <si>
    <t>备选/对比用，广东项目优先用省级0.4419</t>
  </si>
  <si>
    <t>南方区域电力CO₂排放因子</t>
  </si>
  <si>
    <t>0.4042</t>
  </si>
  <si>
    <t>备选/对比用</t>
  </si>
  <si>
    <t>电力碳足迹因子（LCA用）</t>
  </si>
  <si>
    <t>EF_CFP</t>
  </si>
  <si>
    <t>0.5777</t>
  </si>
  <si>
    <t>kgCO₂e/kWh</t>
  </si>
  <si>
    <t>生态环境部、国家统计局、国家能源局《关于发布2024年电力碳足迹因子数据的公告》</t>
  </si>
  <si>
    <t>仅用于LCA隐含碳核算，不与EF_report混用</t>
  </si>
  <si>
    <t>CH₄最大产甲烷潜能</t>
  </si>
  <si>
    <t>B₀</t>
  </si>
  <si>
    <t>0.25</t>
  </si>
  <si>
    <t>kgCH₄/kgCOD</t>
  </si>
  <si>
    <t>IPCC 2006国家温室气体清单指南（2019修订版）</t>
  </si>
  <si>
    <t>范围一CH₄核算核心参数</t>
  </si>
  <si>
    <t>CH₄全球增温潜势</t>
  </si>
  <si>
    <t>GWP_CH4</t>
  </si>
  <si>
    <t>28</t>
  </si>
  <si>
    <t>无量纲</t>
  </si>
  <si>
    <t>IPCC AR5（第五次评估报告）</t>
  </si>
  <si>
    <t>CH₄折算CO₂e，全文统一AR5版本</t>
  </si>
  <si>
    <t>N₂O全球增温潜势</t>
  </si>
  <si>
    <t>GWP_N2O</t>
  </si>
  <si>
    <t>265</t>
  </si>
  <si>
    <t>IPCC AR5</t>
  </si>
  <si>
    <t>N₂O折算CO₂e</t>
  </si>
  <si>
    <t>三、学术文献参数（B级）</t>
  </si>
  <si>
    <t>进水COD浓度</t>
  </si>
  <si>
    <t>COD_in</t>
  </si>
  <si>
    <t>150（范围88-155）</t>
  </si>
  <si>
    <t>mg/L</t>
  </si>
  <si>
    <t>广州市增城区城镇污水处理厂2025年8月运行情况公示（广东地区实际进水COD统计中值）</t>
  </si>
  <si>
    <t>B</t>
  </si>
  <si>
    <t>CH₄核算活动数据：COD去除量</t>
  </si>
  <si>
    <t>出水COD浓度</t>
  </si>
  <si>
    <t>COD_eff</t>
  </si>
  <si>
    <t>10（照片实测9-10）</t>
  </si>
  <si>
    <t>中嘉污水厂SCADA现场照片（出水在线监测值），执行准Ⅳ类标准</t>
  </si>
  <si>
    <t>CH₄核算活动数据</t>
  </si>
  <si>
    <t>进水TN浓度</t>
  </si>
  <si>
    <t>TN_in</t>
  </si>
  <si>
    <t>30（设计35-45，实际偏低）</t>
  </si>
  <si>
    <t>广东地区污水处理厂设计进水参数综合（东莞/河源/揭阳等地环评公示）</t>
  </si>
  <si>
    <t>N₂O核算活动数据：TN去除量</t>
  </si>
  <si>
    <t>出水TN浓度</t>
  </si>
  <si>
    <t>TN_eff</t>
  </si>
  <si>
    <t>7（照片实测3.8-7.4）</t>
  </si>
  <si>
    <t>中嘉污水厂SCADA现场照片</t>
  </si>
  <si>
    <t>N₂O核算活动数据</t>
  </si>
  <si>
    <t>甲烷修正因子（AAO工艺）</t>
  </si>
  <si>
    <t>MCF</t>
  </si>
  <si>
    <t>0.05</t>
  </si>
  <si>
    <t>IPCC 2006指南工艺分类：好氧处理MCF≈0，AAO含少量厌氧段取0.05；生态环境部《城镇污水处理厂污染物去除协同控制温室气体核算技术指南（试行）》</t>
  </si>
  <si>
    <t>CH₄核算：好氧为主工艺修正</t>
  </si>
  <si>
    <t>N₂O排放因子</t>
  </si>
  <si>
    <t>EF_N2O</t>
  </si>
  <si>
    <t>0.016（范围0.003-0.025）</t>
  </si>
  <si>
    <t>kgN₂O-N/kgN</t>
  </si>
  <si>
    <t>Li et al. (2023) Methane and nitrous oxide emissions from municipal WWTPs in China, Environ Sci Ecotechnol, 20:100345；IPCC默认0.005，国内AAO工艺实测偏高取中值0.016</t>
  </si>
  <si>
    <t>N₂O核算核心因子</t>
  </si>
  <si>
    <t>单位水处理电耗</t>
  </si>
  <si>
    <t>SEC</t>
  </si>
  <si>
    <t>0.38</t>
  </si>
  <si>
    <t>kWh/m³</t>
  </si>
  <si>
    <t>Li &amp; Tang (2025) Machine learning-driven benchmarking of China WWTP electricity consumption, Water Research X（覆盖31省2576座污水厂统计中位数）</t>
  </si>
  <si>
    <t>日处理水量反算校核（Q=年电耗/SEC）</t>
  </si>
  <si>
    <t>LFP电芯制造碳足迹</t>
  </si>
  <si>
    <t>19.9</t>
  </si>
  <si>
    <t>2026年LCA研究（Environmental Impact Assessment Review），60kWh电芯cradle-to-gate，LFP为五种化学体系中最低</t>
  </si>
  <si>
    <t>LCA原材料+制造阶段</t>
  </si>
  <si>
    <t>储能系统级隐含碳</t>
  </si>
  <si>
    <t>C_embodied</t>
  </si>
  <si>
    <t>60-80（取70）</t>
  </si>
  <si>
    <t>电芯~20 + PCS/变压器/集装箱/线缆/安装/运输~40-60；文档引用范围60-120取偏下值</t>
  </si>
  <si>
    <t>LCA全生命周期隐含碳总量</t>
  </si>
  <si>
    <t>储能循环寿命</t>
  </si>
  <si>
    <t>N_EFC</t>
  </si>
  <si>
    <t>6000</t>
  </si>
  <si>
    <t>次@80%DoD</t>
  </si>
  <si>
    <t>宁德时代《液冷储能白皮书》：25℃下LFP电芯约6000次循环；行业论文一致</t>
  </si>
  <si>
    <t>LCA寿命总放电量分母</t>
  </si>
  <si>
    <t>退役回收抵减比例</t>
  </si>
  <si>
    <t>10%</t>
  </si>
  <si>
    <t>占隐含碳比例</t>
  </si>
  <si>
    <t>LFP电池回收文献综合（湿法冶金回收材料替代率保守值）</t>
  </si>
  <si>
    <t>LCA退役阶段净排放抵减</t>
  </si>
  <si>
    <t>四、行业统计与工程参数（B/C级）</t>
  </si>
  <si>
    <t>储能往返总效率</t>
  </si>
  <si>
    <t>η_rt</t>
  </si>
  <si>
    <t>90%（模块二设定）；行业实测85-88%（液冷）</t>
  </si>
  <si>
    <t>%</t>
  </si>
  <si>
    <t>模块二设定90%（η_c=η_d=94.87%）；中电联2024统计行业平均综合效率81.71%，液冷85-88%；《预制舱式LFP储能电站能耗计算研究》南方能源建设</t>
  </si>
  <si>
    <t>储能损耗核算、SOC更新</t>
  </si>
  <si>
    <t>PCS转换效率</t>
  </si>
  <si>
    <t>η_PCS</t>
  </si>
  <si>
    <t>98%</t>
  </si>
  <si>
    <t>同上：大容量PCS综合效率96%以上，额定负载98.5%，取98%</t>
  </si>
  <si>
    <t>储能交流/直流侧换算</t>
  </si>
  <si>
    <t>变压器效率</t>
  </si>
  <si>
    <t>η_trans</t>
  </si>
  <si>
    <t>99.5%</t>
  </si>
  <si>
    <t>行业标准值，35kV变压器双向效率约97.87%（含空载+负载损耗）</t>
  </si>
  <si>
    <t>C</t>
  </si>
  <si>
    <t>储能并网损耗</t>
  </si>
  <si>
    <t>辅助电耗占充放电量比例</t>
  </si>
  <si>
    <t>r_aux</t>
  </si>
  <si>
    <t>2-3%（取3%，广东夏季）</t>
  </si>
  <si>
    <t>《大规模储能电站转换效率研究》：液冷单舱30kW/2MWh，BMS+消防+照明约60kWh/d；2MWh项目空调单日249kWh</t>
  </si>
  <si>
    <t>泄漏排放LE核算（基准情景无此项）</t>
  </si>
  <si>
    <t>放电深度</t>
  </si>
  <si>
    <t>DoD</t>
  </si>
  <si>
    <t>90%</t>
  </si>
  <si>
    <t>行业标准，模块二SOC运行区间10%-90%对应DoD=80%，LCA按90%额定DoD</t>
  </si>
  <si>
    <t>LCA寿命总放电量计算</t>
  </si>
  <si>
    <t>设备可用系数</t>
  </si>
  <si>
    <t>k_avail</t>
  </si>
  <si>
    <t>95%</t>
  </si>
  <si>
    <t>工程通用假设（年检修+故障停机约5%）</t>
  </si>
  <si>
    <t>光伏系统造价</t>
  </si>
  <si>
    <t>C_PV</t>
  </si>
  <si>
    <t>2.79</t>
  </si>
  <si>
    <t>元/W</t>
  </si>
  <si>
    <t>全国工商业光伏2.59元/W（2025行业白皮书）+柔性支架增量0.20元/W（马鞍山二污招标2.80元/Wp校准）</t>
  </si>
  <si>
    <t>设备投资折旧（模块二已用）</t>
  </si>
  <si>
    <t>储能EPC造价</t>
  </si>
  <si>
    <t>C_ESS</t>
  </si>
  <si>
    <t>1113</t>
  </si>
  <si>
    <t>寻熵研究院《2025储能系统及EPC价格全景分析报告》3730份报价统计，2小时储能EPC均价</t>
  </si>
  <si>
    <t>光伏折旧年限</t>
  </si>
  <si>
    <t>L_PV</t>
  </si>
  <si>
    <t>25</t>
  </si>
  <si>
    <t>年</t>
  </si>
  <si>
    <t>光伏系统工程经济评价通用假设</t>
  </si>
  <si>
    <t>日均折旧分摊</t>
  </si>
  <si>
    <t>储能折旧年限</t>
  </si>
  <si>
    <t>L_ESS</t>
  </si>
  <si>
    <t>12</t>
  </si>
  <si>
    <t>储能系统工程经济评价通用假设（LFP实际寿命10-15年）</t>
  </si>
  <si>
    <t>五、模型构造与推导参数（C级）</t>
  </si>
  <si>
    <t>时变碳因子</t>
  </si>
  <si>
    <t>EF_opt(t)</t>
  </si>
  <si>
    <t>区间[0.30, 0.65]，年均校准0.4419</t>
  </si>
  <si>
    <t>本项目构造：广东电力现货节点电价min-max归一化→碳强度映射（方法二：现货价格代理），高价=火电顶出高碳，低价=新能源大发低碳。标注"研究用近似值"</t>
  </si>
  <si>
    <t>模块三调度优化碳信号、运行减排核算（核心亮点）</t>
  </si>
  <si>
    <t>日处理水量</t>
  </si>
  <si>
    <t>Q_day</t>
  </si>
  <si>
    <t>约18-20</t>
  </si>
  <si>
    <t>万m³/d</t>
  </si>
  <si>
    <t>反算：年负荷7043万kWh÷0.38kWh/m³÷365≈18.4万m³/d；SCADA照片瞬时流量8000-9000m³/h×24h≈19-22万m³/d交叉验证</t>
  </si>
  <si>
    <t>碳强度指标分母（kgCO₂e/m³）、CH₄/N₂O年总量</t>
  </si>
  <si>
    <t>剩余污泥COD占比</t>
  </si>
  <si>
    <t>COD_sludge/COD_removed</t>
  </si>
  <si>
    <t>15%</t>
  </si>
  <si>
    <t>行业经验值：AAO工艺剩余污泥携带COD约占总去除量10-20%，取中值15%</t>
  </si>
  <si>
    <t>CH₄核算中扣除污泥COD项</t>
  </si>
  <si>
    <t>燃煤标杆上网电价</t>
  </si>
  <si>
    <t>0.453</t>
  </si>
  <si>
    <t>广东省燃煤发电基准价（余电上网结算价）</t>
  </si>
  <si>
    <t>余电上网收益核算（不影响碳核算）</t>
  </si>
  <si>
    <t>排放源</t>
  </si>
  <si>
    <t>公式/参数</t>
  </si>
  <si>
    <t>来源</t>
  </si>
  <si>
    <t>CH₄（污水处理）</t>
  </si>
  <si>
    <t>E_CH4 = (COD_in-COD_eff-COD_sludge)×Q×MCF×B₀×GWP_CH4</t>
  </si>
  <si>
    <t>kgCO₂e/年</t>
  </si>
  <si>
    <t>见Sheet1序号16-21</t>
  </si>
  <si>
    <t xml:space="preserve">  COD去除量</t>
  </si>
  <si>
    <t>(COD_in - COD_eff) × Q_day × 365</t>
  </si>
  <si>
    <t>(150-10)×18.4万×365</t>
  </si>
  <si>
    <t>kgCOD/年</t>
  </si>
  <si>
    <t>浓度mg/L×水量m³=g，×1000=kg</t>
  </si>
  <si>
    <t xml:space="preserve">  B₀</t>
  </si>
  <si>
    <t>最大产甲烷潜能</t>
  </si>
  <si>
    <t>IPCC 2006</t>
  </si>
  <si>
    <t xml:space="preserve">  MCF</t>
  </si>
  <si>
    <t>IPCC指南</t>
  </si>
  <si>
    <t xml:space="preserve">  GWP_CH4</t>
  </si>
  <si>
    <t>全球增温潜势</t>
  </si>
  <si>
    <t>kgCO₂e/kgCH4</t>
  </si>
  <si>
    <t>N₂O（污水处理）</t>
  </si>
  <si>
    <t>E_N2O = (TN_in-TN_eff)×Q×EF_N2O×(44/28)×GWP_N2O</t>
  </si>
  <si>
    <t>见Sheet1序号18-21</t>
  </si>
  <si>
    <t xml:space="preserve">  TN去除量</t>
  </si>
  <si>
    <t>(TN_in - TN_eff) × Q_day × 365</t>
  </si>
  <si>
    <t>(30-7)×18.4万×365</t>
  </si>
  <si>
    <t>kgN/年</t>
  </si>
  <si>
    <t/>
  </si>
  <si>
    <t xml:space="preserve">  EF_N2O</t>
  </si>
  <si>
    <t>0.016</t>
  </si>
  <si>
    <t>Li et al. 2023</t>
  </si>
  <si>
    <t xml:space="preserve">  44/28</t>
  </si>
  <si>
    <t>N₂O与N摩尔质量比</t>
  </si>
  <si>
    <t>1.571</t>
  </si>
  <si>
    <t>化学计量</t>
  </si>
  <si>
    <t xml:space="preserve">  GWP_N2O</t>
  </si>
  <si>
    <t>kgCO₂e/kgN₂O</t>
  </si>
  <si>
    <t>燃料燃烧</t>
  </si>
  <si>
    <t>天然气/柴油消耗×单位热值×排放因子</t>
  </si>
  <si>
    <t>暂无数据，按0计</t>
  </si>
  <si>
    <t>需厂里台账，竞赛阶段标注"未监测"</t>
  </si>
  <si>
    <t>制冷剂泄漏</t>
  </si>
  <si>
    <t>年充注量×GWP（R410A=2088等）</t>
  </si>
  <si>
    <t>需设备维护记录</t>
  </si>
  <si>
    <t>账本</t>
  </si>
  <si>
    <t>核算目标</t>
  </si>
  <si>
    <t>核心公式</t>
  </si>
  <si>
    <t>所需数据</t>
  </si>
  <si>
    <t>数据状态</t>
  </si>
  <si>
    <t>企业清单账</t>
  </si>
  <si>
    <t>厂区年度合规碳排放</t>
  </si>
  <si>
    <t>C_plant = C_scope1 + C_scope2 + C_scope3</t>
  </si>
  <si>
    <t>范围一：CH₄+N₂O+燃料+制冷剂；范围二：关口购电量×EF_report</t>
  </si>
  <si>
    <t>范围二✓已有；范围一需文献参数✓；范围三简化</t>
  </si>
  <si>
    <t>项目减排账</t>
  </si>
  <si>
    <t>储能调度相对基准的排放变化</t>
  </si>
  <si>
    <t>ER_op = BE - PE - LE</t>
  </si>
  <si>
    <t>BE：无储能全电网供电排放；PE：优化后电网购电排放；LE：辅助电耗+运维增量</t>
  </si>
  <si>
    <t>BE/PE可由模块二+EF计算；LE用辅助电耗比例3%</t>
  </si>
  <si>
    <t>产品LCA账</t>
  </si>
  <si>
    <t>储能设备全生命周期碳足迹</t>
  </si>
  <si>
    <t>C_embodied = C_mat + C_mfg + C_trans + C_install + C_maint + C_EOL - C_rec</t>
  </si>
  <si>
    <t>LFP材料BOM/制造能耗/运输/安装/运维更换/退役回收</t>
  </si>
  <si>
    <t>电芯19.9+系统级70 kgCO₂e/kWh（文献值）</t>
  </si>
  <si>
    <t>净生命周期减排</t>
  </si>
  <si>
    <t>运行减排扣除隐含碳分摊</t>
  </si>
  <si>
    <t>ER_net = ER_op - C_alloc,incremental</t>
  </si>
  <si>
    <t>ER_op（年）+ C_embodied（总量）÷ 寿命年数</t>
  </si>
  <si>
    <t>可计算：年运行减排 vs 年隐含碳分摊</t>
  </si>
  <si>
    <t>指标</t>
  </si>
  <si>
    <t>数值</t>
  </si>
  <si>
    <t>说明</t>
  </si>
  <si>
    <t>光伏装机容量</t>
  </si>
  <si>
    <t>12.2</t>
  </si>
  <si>
    <t>MW</t>
  </si>
  <si>
    <t>受30公顷池顶面积上限约束（改进版）</t>
  </si>
  <si>
    <t>储能配置</t>
  </si>
  <si>
    <t>4/2</t>
  </si>
  <si>
    <t>MWh/MW</t>
  </si>
  <si>
    <t>宁德时代EnerC 20尺集装箱（改进版，原16/8已删除）</t>
  </si>
  <si>
    <t>年光伏发电量</t>
  </si>
  <si>
    <t>1643</t>
  </si>
  <si>
    <t>万kWh</t>
  </si>
  <si>
    <t>12.2MW规划装机仿真值</t>
  </si>
  <si>
    <t>年总用电量</t>
  </si>
  <si>
    <t>7043</t>
  </si>
  <si>
    <t>中嘉污水厂365天实测</t>
  </si>
  <si>
    <t>光伏绿电占比</t>
  </si>
  <si>
    <t>23.08</t>
  </si>
  <si>
    <t>扣除储能损耗和弃光后的有效绿电</t>
  </si>
  <si>
    <t>弃光率</t>
  </si>
  <si>
    <t>0</t>
  </si>
  <si>
    <t>余电上网模式（改进版新增）</t>
  </si>
  <si>
    <t>年购电成本（基准）</t>
  </si>
  <si>
    <t>5751</t>
  </si>
  <si>
    <t>万元</t>
  </si>
  <si>
    <t>无光伏无储能，全电网购电</t>
  </si>
  <si>
    <t>年购电成本（优化）</t>
  </si>
  <si>
    <t>3594</t>
  </si>
  <si>
    <t>光储柔完整方案</t>
  </si>
  <si>
    <t>年节省电费</t>
  </si>
  <si>
    <t>2157</t>
  </si>
  <si>
    <t>基准-优化</t>
  </si>
  <si>
    <t>总投资</t>
  </si>
  <si>
    <t>5309</t>
  </si>
  <si>
    <t>光伏+储能</t>
  </si>
  <si>
    <t>静态回收期</t>
  </si>
  <si>
    <t>2.87</t>
  </si>
  <si>
    <t>总投资/年节省</t>
  </si>
  <si>
    <t>安全模式天数</t>
  </si>
  <si>
    <t>65</t>
  </si>
  <si>
    <t>天/年</t>
  </si>
  <si>
    <t>触发率17.8%（含冲击豁免11天）</t>
  </si>
  <si>
    <t>节能模式天数</t>
  </si>
  <si>
    <t>300</t>
  </si>
  <si>
    <t>82.2%</t>
  </si>
  <si>
    <t>曝气下调总量</t>
  </si>
  <si>
    <t>301</t>
  </si>
  <si>
    <t>万kWh/年</t>
  </si>
  <si>
    <t>占负荷4.27%</t>
  </si>
  <si>
    <t>储能往返效率</t>
  </si>
  <si>
    <t>90</t>
  </si>
  <si>
    <t>η_c=η_d=94.87%</t>
  </si>
  <si>
    <t>SOC运行区间</t>
  </si>
  <si>
    <t>10-90</t>
  </si>
  <si>
    <t>安全边界</t>
  </si>
  <si>
    <t>并网模式</t>
  </si>
  <si>
    <t>自发自用、余电上网</t>
  </si>
  <si>
    <t>改进版变更（原"无余电上网"已删除）</t>
  </si>
  <si>
    <t>算法</t>
  </si>
  <si>
    <t>linprog(HiGHS)+双模式滞回</t>
  </si>
  <si>
    <t>改进版变更（原MOPSO+MPC已删除）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</si>
</sst>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b/>
      <sz val="14"/>
      <color rgb="FF2F5496"/>
      <name val="微软雅黑"/>
      <charset val="134"/>
    </font>
    <font>
      <sz val="9"/>
      <color rgb="FF666666"/>
      <name val="微软雅黑"/>
      <charset val="134"/>
    </font>
    <font>
      <b/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DCE4"/>
        <bgColor rgb="FFD6DCE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48"/>
  <sheetViews>
    <sheetView tabSelected="1" workbookViewId="0">
      <pane ySplit="3" topLeftCell="A11" activePane="bottomLeft" state="frozen"/>
      <selection/>
      <selection pane="bottomLeft" activeCell="B12" sqref="B10:B12"/>
    </sheetView>
  </sheetViews>
  <sheetFormatPr defaultColWidth="9" defaultRowHeight="14.4" outlineLevelCol="7"/>
  <cols>
    <col min="1" max="1" width="6" customWidth="1"/>
    <col min="2" max="2" width="28" customWidth="1"/>
    <col min="3" max="3" width="14" customWidth="1"/>
    <col min="4" max="4" width="22" customWidth="1"/>
    <col min="5" max="5" width="14" customWidth="1"/>
    <col min="6" max="6" width="45" customWidth="1"/>
    <col min="7" max="7" width="10" customWidth="1"/>
    <col min="8" max="8" width="35" customWidth="1"/>
  </cols>
  <sheetData>
    <row r="1" ht="30" customHeight="1" spans="1:8">
      <c r="A1" s="4" t="s">
        <v>0</v>
      </c>
    </row>
    <row r="2" ht="28" customHeight="1" spans="1:8">
      <c r="A2" s="5" t="s">
        <v>1</v>
      </c>
    </row>
    <row r="3" ht="24" customHeight="1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ht="22" customHeight="1" spans="1:8">
      <c r="A4" s="6" t="s">
        <v>10</v>
      </c>
    </row>
    <row r="5" ht="42" customHeight="1" spans="1:8">
      <c r="A5" s="2">
        <v>1</v>
      </c>
      <c r="B5" s="7" t="s">
        <v>11</v>
      </c>
      <c r="C5" s="2" t="s">
        <v>12</v>
      </c>
      <c r="D5" s="3" t="s">
        <v>13</v>
      </c>
      <c r="E5" s="2" t="s">
        <v>14</v>
      </c>
      <c r="F5" s="3" t="s">
        <v>15</v>
      </c>
      <c r="G5" s="8" t="s">
        <v>16</v>
      </c>
      <c r="H5" s="3" t="s">
        <v>17</v>
      </c>
    </row>
    <row r="6" ht="42" customHeight="1" spans="1:8">
      <c r="A6" s="2">
        <v>2</v>
      </c>
      <c r="B6" s="7" t="s">
        <v>18</v>
      </c>
      <c r="C6" s="2" t="s">
        <v>19</v>
      </c>
      <c r="D6" s="3" t="s">
        <v>20</v>
      </c>
      <c r="E6" s="2" t="s">
        <v>14</v>
      </c>
      <c r="F6" s="3" t="s">
        <v>21</v>
      </c>
      <c r="G6" s="8" t="s">
        <v>16</v>
      </c>
      <c r="H6" s="3" t="s">
        <v>22</v>
      </c>
    </row>
    <row r="7" ht="42" customHeight="1" spans="1:8">
      <c r="A7" s="2">
        <v>3</v>
      </c>
      <c r="B7" s="7" t="s">
        <v>23</v>
      </c>
      <c r="C7" s="2" t="s">
        <v>24</v>
      </c>
      <c r="D7" s="3" t="s">
        <v>25</v>
      </c>
      <c r="E7" s="2" t="s">
        <v>14</v>
      </c>
      <c r="F7" s="3" t="s">
        <v>26</v>
      </c>
      <c r="G7" s="8" t="s">
        <v>16</v>
      </c>
      <c r="H7" s="3" t="s">
        <v>27</v>
      </c>
    </row>
    <row r="8" ht="42" customHeight="1" spans="1:8">
      <c r="A8" s="2">
        <v>4</v>
      </c>
      <c r="B8" s="7" t="s">
        <v>28</v>
      </c>
      <c r="C8" s="2" t="s">
        <v>29</v>
      </c>
      <c r="D8" s="3" t="s">
        <v>30</v>
      </c>
      <c r="E8" s="2" t="s">
        <v>14</v>
      </c>
      <c r="F8" s="3" t="s">
        <v>31</v>
      </c>
      <c r="G8" s="8" t="s">
        <v>16</v>
      </c>
      <c r="H8" s="3" t="s">
        <v>32</v>
      </c>
    </row>
    <row r="9" ht="42" customHeight="1" spans="1:8">
      <c r="A9" s="2">
        <v>5</v>
      </c>
      <c r="B9" s="7" t="s">
        <v>33</v>
      </c>
      <c r="C9" s="2" t="s">
        <v>34</v>
      </c>
      <c r="D9" s="3" t="s">
        <v>35</v>
      </c>
      <c r="E9" s="2" t="s">
        <v>36</v>
      </c>
      <c r="F9" s="3" t="s">
        <v>37</v>
      </c>
      <c r="G9" s="8" t="s">
        <v>16</v>
      </c>
      <c r="H9" s="3" t="s">
        <v>38</v>
      </c>
    </row>
    <row r="10" ht="42" customHeight="1" spans="1:8">
      <c r="A10" s="2">
        <v>6</v>
      </c>
      <c r="B10" s="7" t="s">
        <v>39</v>
      </c>
      <c r="C10" s="2" t="s">
        <v>40</v>
      </c>
      <c r="D10" s="3" t="s">
        <v>41</v>
      </c>
      <c r="E10" s="2" t="s">
        <v>42</v>
      </c>
      <c r="F10" s="3" t="s">
        <v>43</v>
      </c>
      <c r="G10" s="8" t="s">
        <v>16</v>
      </c>
      <c r="H10" s="3" t="s">
        <v>44</v>
      </c>
    </row>
    <row r="11" ht="42" customHeight="1" spans="1:8">
      <c r="A11" s="2">
        <v>7</v>
      </c>
      <c r="B11" s="7" t="s">
        <v>45</v>
      </c>
      <c r="C11" s="2" t="s">
        <v>46</v>
      </c>
      <c r="D11" s="3" t="e">
        <f>P_load(_xleta.t) − P_PV_self(_xleta.t)+P_ch,grid(_xleta.t) − P_dis,load(_xleta.t)</f>
        <v>#NAME?</v>
      </c>
      <c r="E11" s="2" t="s">
        <v>14</v>
      </c>
      <c r="F11" s="3" t="s">
        <v>47</v>
      </c>
      <c r="G11" s="8" t="s">
        <v>16</v>
      </c>
      <c r="H11" s="3" t="s">
        <v>48</v>
      </c>
    </row>
    <row r="12" ht="42" customHeight="1" spans="1:8">
      <c r="A12" s="2">
        <v>8</v>
      </c>
      <c r="B12" s="7" t="s">
        <v>49</v>
      </c>
      <c r="C12" s="2" t="s">
        <v>50</v>
      </c>
      <c r="D12" s="3" t="s">
        <v>51</v>
      </c>
      <c r="E12" s="2" t="s">
        <v>14</v>
      </c>
      <c r="F12" s="3" t="s">
        <v>52</v>
      </c>
      <c r="G12" s="8" t="s">
        <v>16</v>
      </c>
      <c r="H12" s="3" t="s">
        <v>53</v>
      </c>
    </row>
    <row r="13" ht="22" customHeight="1" spans="1:8">
      <c r="A13" s="6" t="s">
        <v>54</v>
      </c>
    </row>
    <row r="14" ht="42" customHeight="1" spans="1:8">
      <c r="A14" s="2">
        <v>9</v>
      </c>
      <c r="B14" s="3" t="s">
        <v>55</v>
      </c>
      <c r="C14" s="2" t="s">
        <v>56</v>
      </c>
      <c r="D14" s="3" t="s">
        <v>57</v>
      </c>
      <c r="E14" s="2" t="s">
        <v>58</v>
      </c>
      <c r="F14" s="3" t="s">
        <v>59</v>
      </c>
      <c r="G14" s="8" t="s">
        <v>16</v>
      </c>
      <c r="H14" s="3" t="s">
        <v>60</v>
      </c>
    </row>
    <row r="15" ht="42" customHeight="1" spans="1:8">
      <c r="A15" s="2">
        <v>10</v>
      </c>
      <c r="B15" s="3" t="s">
        <v>61</v>
      </c>
      <c r="C15" s="2" t="s">
        <v>62</v>
      </c>
      <c r="D15" s="3" t="s">
        <v>63</v>
      </c>
      <c r="E15" s="2" t="s">
        <v>58</v>
      </c>
      <c r="F15" s="3" t="s">
        <v>64</v>
      </c>
      <c r="G15" s="8" t="s">
        <v>16</v>
      </c>
      <c r="H15" s="3" t="s">
        <v>65</v>
      </c>
    </row>
    <row r="16" ht="42" customHeight="1" spans="1:8">
      <c r="A16" s="2">
        <v>11</v>
      </c>
      <c r="B16" s="3" t="s">
        <v>66</v>
      </c>
      <c r="C16" s="2" t="s">
        <v>62</v>
      </c>
      <c r="D16" s="3" t="s">
        <v>67</v>
      </c>
      <c r="E16" s="2" t="s">
        <v>58</v>
      </c>
      <c r="F16" s="3" t="s">
        <v>64</v>
      </c>
      <c r="G16" s="8" t="s">
        <v>16</v>
      </c>
      <c r="H16" s="3" t="s">
        <v>68</v>
      </c>
    </row>
    <row r="17" ht="42" customHeight="1" spans="1:8">
      <c r="A17" s="2">
        <v>12</v>
      </c>
      <c r="B17" s="3" t="s">
        <v>69</v>
      </c>
      <c r="C17" s="2" t="s">
        <v>70</v>
      </c>
      <c r="D17" s="3" t="s">
        <v>71</v>
      </c>
      <c r="E17" s="2" t="s">
        <v>72</v>
      </c>
      <c r="F17" s="3" t="s">
        <v>73</v>
      </c>
      <c r="G17" s="8" t="s">
        <v>16</v>
      </c>
      <c r="H17" s="3" t="s">
        <v>74</v>
      </c>
    </row>
    <row r="18" ht="42" customHeight="1" spans="1:8">
      <c r="A18" s="2">
        <v>13</v>
      </c>
      <c r="B18" s="3" t="s">
        <v>75</v>
      </c>
      <c r="C18" s="2" t="s">
        <v>76</v>
      </c>
      <c r="D18" s="3" t="s">
        <v>77</v>
      </c>
      <c r="E18" s="2" t="s">
        <v>78</v>
      </c>
      <c r="F18" s="3" t="s">
        <v>79</v>
      </c>
      <c r="G18" s="8" t="s">
        <v>16</v>
      </c>
      <c r="H18" s="3" t="s">
        <v>80</v>
      </c>
    </row>
    <row r="19" ht="42" customHeight="1" spans="1:8">
      <c r="A19" s="2">
        <v>14</v>
      </c>
      <c r="B19" s="3" t="s">
        <v>81</v>
      </c>
      <c r="C19" s="2" t="s">
        <v>82</v>
      </c>
      <c r="D19" s="3" t="s">
        <v>83</v>
      </c>
      <c r="E19" s="2" t="s">
        <v>84</v>
      </c>
      <c r="F19" s="3" t="s">
        <v>85</v>
      </c>
      <c r="G19" s="8" t="s">
        <v>16</v>
      </c>
      <c r="H19" s="3" t="s">
        <v>86</v>
      </c>
    </row>
    <row r="20" ht="42" customHeight="1" spans="1:8">
      <c r="A20" s="2">
        <v>15</v>
      </c>
      <c r="B20" s="3" t="s">
        <v>87</v>
      </c>
      <c r="C20" s="2" t="s">
        <v>88</v>
      </c>
      <c r="D20" s="3" t="s">
        <v>89</v>
      </c>
      <c r="E20" s="2" t="s">
        <v>84</v>
      </c>
      <c r="F20" s="3" t="s">
        <v>90</v>
      </c>
      <c r="G20" s="8" t="s">
        <v>16</v>
      </c>
      <c r="H20" s="3" t="s">
        <v>91</v>
      </c>
    </row>
    <row r="21" ht="22" customHeight="1" spans="1:8">
      <c r="A21" s="6" t="s">
        <v>92</v>
      </c>
    </row>
    <row r="22" ht="42" customHeight="1" spans="1:8">
      <c r="A22" s="2">
        <v>16</v>
      </c>
      <c r="B22" s="3" t="s">
        <v>93</v>
      </c>
      <c r="C22" s="2" t="s">
        <v>94</v>
      </c>
      <c r="D22" s="3" t="s">
        <v>95</v>
      </c>
      <c r="E22" s="2" t="s">
        <v>96</v>
      </c>
      <c r="F22" s="3" t="s">
        <v>97</v>
      </c>
      <c r="G22" s="9" t="s">
        <v>98</v>
      </c>
      <c r="H22" s="3" t="s">
        <v>99</v>
      </c>
    </row>
    <row r="23" ht="42" customHeight="1" spans="1:8">
      <c r="A23" s="2">
        <v>17</v>
      </c>
      <c r="B23" s="3" t="s">
        <v>100</v>
      </c>
      <c r="C23" s="2" t="s">
        <v>101</v>
      </c>
      <c r="D23" s="3" t="s">
        <v>102</v>
      </c>
      <c r="E23" s="2" t="s">
        <v>96</v>
      </c>
      <c r="F23" s="3" t="s">
        <v>103</v>
      </c>
      <c r="G23" s="9" t="s">
        <v>98</v>
      </c>
      <c r="H23" s="3" t="s">
        <v>104</v>
      </c>
    </row>
    <row r="24" ht="42" customHeight="1" spans="1:8">
      <c r="A24" s="2">
        <v>18</v>
      </c>
      <c r="B24" s="3" t="s">
        <v>105</v>
      </c>
      <c r="C24" s="2" t="s">
        <v>106</v>
      </c>
      <c r="D24" s="3" t="s">
        <v>107</v>
      </c>
      <c r="E24" s="2" t="s">
        <v>96</v>
      </c>
      <c r="F24" s="3" t="s">
        <v>108</v>
      </c>
      <c r="G24" s="9" t="s">
        <v>98</v>
      </c>
      <c r="H24" s="3" t="s">
        <v>109</v>
      </c>
    </row>
    <row r="25" ht="42" customHeight="1" spans="1:8">
      <c r="A25" s="2">
        <v>19</v>
      </c>
      <c r="B25" s="3" t="s">
        <v>110</v>
      </c>
      <c r="C25" s="2" t="s">
        <v>111</v>
      </c>
      <c r="D25" s="3" t="s">
        <v>112</v>
      </c>
      <c r="E25" s="2" t="s">
        <v>96</v>
      </c>
      <c r="F25" s="3" t="s">
        <v>113</v>
      </c>
      <c r="G25" s="9" t="s">
        <v>98</v>
      </c>
      <c r="H25" s="3" t="s">
        <v>114</v>
      </c>
    </row>
    <row r="26" ht="42" customHeight="1" spans="1:8">
      <c r="A26" s="2">
        <v>20</v>
      </c>
      <c r="B26" s="3" t="s">
        <v>115</v>
      </c>
      <c r="C26" s="2" t="s">
        <v>116</v>
      </c>
      <c r="D26" s="3" t="s">
        <v>117</v>
      </c>
      <c r="E26" s="2" t="s">
        <v>84</v>
      </c>
      <c r="F26" s="3" t="s">
        <v>118</v>
      </c>
      <c r="G26" s="9" t="s">
        <v>98</v>
      </c>
      <c r="H26" s="3" t="s">
        <v>119</v>
      </c>
    </row>
    <row r="27" ht="42" customHeight="1" spans="1:8">
      <c r="A27" s="2">
        <v>21</v>
      </c>
      <c r="B27" s="3" t="s">
        <v>120</v>
      </c>
      <c r="C27" s="2" t="s">
        <v>121</v>
      </c>
      <c r="D27" s="3" t="s">
        <v>122</v>
      </c>
      <c r="E27" s="2" t="s">
        <v>123</v>
      </c>
      <c r="F27" s="3" t="s">
        <v>124</v>
      </c>
      <c r="G27" s="9" t="s">
        <v>98</v>
      </c>
      <c r="H27" s="3" t="s">
        <v>125</v>
      </c>
    </row>
    <row r="28" ht="42" customHeight="1" spans="1:8">
      <c r="A28" s="2">
        <v>22</v>
      </c>
      <c r="B28" s="3" t="s">
        <v>126</v>
      </c>
      <c r="C28" s="2" t="s">
        <v>127</v>
      </c>
      <c r="D28" s="3" t="s">
        <v>128</v>
      </c>
      <c r="E28" s="2" t="s">
        <v>129</v>
      </c>
      <c r="F28" s="3" t="s">
        <v>130</v>
      </c>
      <c r="G28" s="9" t="s">
        <v>98</v>
      </c>
      <c r="H28" s="3" t="s">
        <v>131</v>
      </c>
    </row>
    <row r="29" ht="42" customHeight="1" spans="1:8">
      <c r="A29" s="2">
        <v>23</v>
      </c>
      <c r="B29" s="3" t="s">
        <v>132</v>
      </c>
      <c r="C29" s="2" t="s">
        <v>62</v>
      </c>
      <c r="D29" s="3" t="s">
        <v>133</v>
      </c>
      <c r="E29" s="2" t="s">
        <v>72</v>
      </c>
      <c r="F29" s="3" t="s">
        <v>134</v>
      </c>
      <c r="G29" s="9" t="s">
        <v>98</v>
      </c>
      <c r="H29" s="3" t="s">
        <v>135</v>
      </c>
    </row>
    <row r="30" ht="42" customHeight="1" spans="1:8">
      <c r="A30" s="2">
        <v>24</v>
      </c>
      <c r="B30" s="3" t="s">
        <v>136</v>
      </c>
      <c r="C30" s="2" t="s">
        <v>137</v>
      </c>
      <c r="D30" s="3" t="s">
        <v>138</v>
      </c>
      <c r="E30" s="2" t="s">
        <v>72</v>
      </c>
      <c r="F30" s="3" t="s">
        <v>139</v>
      </c>
      <c r="G30" s="9" t="s">
        <v>98</v>
      </c>
      <c r="H30" s="3" t="s">
        <v>140</v>
      </c>
    </row>
    <row r="31" ht="42" customHeight="1" spans="1:8">
      <c r="A31" s="2">
        <v>25</v>
      </c>
      <c r="B31" s="3" t="s">
        <v>141</v>
      </c>
      <c r="C31" s="2" t="s">
        <v>142</v>
      </c>
      <c r="D31" s="3" t="s">
        <v>143</v>
      </c>
      <c r="E31" s="2" t="s">
        <v>144</v>
      </c>
      <c r="F31" s="3" t="s">
        <v>145</v>
      </c>
      <c r="G31" s="9" t="s">
        <v>98</v>
      </c>
      <c r="H31" s="3" t="s">
        <v>146</v>
      </c>
    </row>
    <row r="32" ht="42" customHeight="1" spans="1:8">
      <c r="A32" s="2">
        <v>26</v>
      </c>
      <c r="B32" s="3" t="s">
        <v>147</v>
      </c>
      <c r="C32" s="2" t="s">
        <v>62</v>
      </c>
      <c r="D32" s="3" t="s">
        <v>148</v>
      </c>
      <c r="E32" s="2" t="s">
        <v>149</v>
      </c>
      <c r="F32" s="3" t="s">
        <v>150</v>
      </c>
      <c r="G32" s="9" t="s">
        <v>98</v>
      </c>
      <c r="H32" s="3" t="s">
        <v>151</v>
      </c>
    </row>
    <row r="33" ht="22" customHeight="1" spans="1:8">
      <c r="A33" s="6" t="s">
        <v>152</v>
      </c>
    </row>
    <row r="34" ht="42" customHeight="1" spans="1:8">
      <c r="A34" s="2">
        <v>27</v>
      </c>
      <c r="B34" s="3" t="s">
        <v>153</v>
      </c>
      <c r="C34" s="2" t="s">
        <v>154</v>
      </c>
      <c r="D34" s="3" t="s">
        <v>155</v>
      </c>
      <c r="E34" s="2" t="s">
        <v>156</v>
      </c>
      <c r="F34" s="3" t="s">
        <v>157</v>
      </c>
      <c r="G34" s="9" t="s">
        <v>98</v>
      </c>
      <c r="H34" s="3" t="s">
        <v>158</v>
      </c>
    </row>
    <row r="35" ht="42" customHeight="1" spans="1:8">
      <c r="A35" s="2">
        <v>28</v>
      </c>
      <c r="B35" s="3" t="s">
        <v>159</v>
      </c>
      <c r="C35" s="2" t="s">
        <v>160</v>
      </c>
      <c r="D35" s="3" t="s">
        <v>161</v>
      </c>
      <c r="E35" s="2" t="s">
        <v>156</v>
      </c>
      <c r="F35" s="3" t="s">
        <v>162</v>
      </c>
      <c r="G35" s="9" t="s">
        <v>98</v>
      </c>
      <c r="H35" s="3" t="s">
        <v>163</v>
      </c>
    </row>
    <row r="36" ht="42" customHeight="1" spans="1:8">
      <c r="A36" s="2">
        <v>29</v>
      </c>
      <c r="B36" s="3" t="s">
        <v>164</v>
      </c>
      <c r="C36" s="2" t="s">
        <v>165</v>
      </c>
      <c r="D36" s="3" t="s">
        <v>166</v>
      </c>
      <c r="E36" s="2" t="s">
        <v>156</v>
      </c>
      <c r="F36" s="3" t="s">
        <v>167</v>
      </c>
      <c r="G36" s="10" t="s">
        <v>168</v>
      </c>
      <c r="H36" s="3" t="s">
        <v>169</v>
      </c>
    </row>
    <row r="37" ht="42" customHeight="1" spans="1:8">
      <c r="A37" s="2">
        <v>30</v>
      </c>
      <c r="B37" s="3" t="s">
        <v>170</v>
      </c>
      <c r="C37" s="2" t="s">
        <v>171</v>
      </c>
      <c r="D37" s="3" t="s">
        <v>172</v>
      </c>
      <c r="E37" s="2" t="s">
        <v>156</v>
      </c>
      <c r="F37" s="3" t="s">
        <v>173</v>
      </c>
      <c r="G37" s="9" t="s">
        <v>98</v>
      </c>
      <c r="H37" s="3" t="s">
        <v>174</v>
      </c>
    </row>
    <row r="38" ht="42" customHeight="1" spans="1:8">
      <c r="A38" s="2">
        <v>31</v>
      </c>
      <c r="B38" s="3" t="s">
        <v>175</v>
      </c>
      <c r="C38" s="2" t="s">
        <v>176</v>
      </c>
      <c r="D38" s="3" t="s">
        <v>177</v>
      </c>
      <c r="E38" s="2" t="s">
        <v>156</v>
      </c>
      <c r="F38" s="3" t="s">
        <v>178</v>
      </c>
      <c r="G38" s="9" t="s">
        <v>98</v>
      </c>
      <c r="H38" s="3" t="s">
        <v>179</v>
      </c>
    </row>
    <row r="39" ht="42" customHeight="1" spans="1:8">
      <c r="A39" s="2">
        <v>32</v>
      </c>
      <c r="B39" s="3" t="s">
        <v>180</v>
      </c>
      <c r="C39" s="2" t="s">
        <v>181</v>
      </c>
      <c r="D39" s="3" t="s">
        <v>182</v>
      </c>
      <c r="E39" s="2" t="s">
        <v>156</v>
      </c>
      <c r="F39" s="3" t="s">
        <v>183</v>
      </c>
      <c r="G39" s="10" t="s">
        <v>168</v>
      </c>
      <c r="H39" s="3" t="s">
        <v>179</v>
      </c>
    </row>
    <row r="40" ht="42" customHeight="1" spans="1:8">
      <c r="A40" s="2">
        <v>33</v>
      </c>
      <c r="B40" s="3" t="s">
        <v>184</v>
      </c>
      <c r="C40" s="2" t="s">
        <v>185</v>
      </c>
      <c r="D40" s="3" t="s">
        <v>186</v>
      </c>
      <c r="E40" s="2" t="s">
        <v>187</v>
      </c>
      <c r="F40" s="3" t="s">
        <v>188</v>
      </c>
      <c r="G40" s="9" t="s">
        <v>98</v>
      </c>
      <c r="H40" s="3" t="s">
        <v>189</v>
      </c>
    </row>
    <row r="41" ht="42" customHeight="1" spans="1:8">
      <c r="A41" s="2">
        <v>34</v>
      </c>
      <c r="B41" s="3" t="s">
        <v>190</v>
      </c>
      <c r="C41" s="2" t="s">
        <v>191</v>
      </c>
      <c r="D41" s="3" t="s">
        <v>192</v>
      </c>
      <c r="E41" s="2" t="s">
        <v>36</v>
      </c>
      <c r="F41" s="3" t="s">
        <v>193</v>
      </c>
      <c r="G41" s="9" t="s">
        <v>98</v>
      </c>
      <c r="H41" s="3" t="s">
        <v>189</v>
      </c>
    </row>
    <row r="42" ht="42" customHeight="1" spans="1:8">
      <c r="A42" s="2">
        <v>35</v>
      </c>
      <c r="B42" s="3" t="s">
        <v>194</v>
      </c>
      <c r="C42" s="2" t="s">
        <v>195</v>
      </c>
      <c r="D42" s="3" t="s">
        <v>196</v>
      </c>
      <c r="E42" s="2" t="s">
        <v>197</v>
      </c>
      <c r="F42" s="3" t="s">
        <v>198</v>
      </c>
      <c r="G42" s="10" t="s">
        <v>168</v>
      </c>
      <c r="H42" s="3" t="s">
        <v>199</v>
      </c>
    </row>
    <row r="43" ht="42" customHeight="1" spans="1:8">
      <c r="A43" s="2">
        <v>36</v>
      </c>
      <c r="B43" s="3" t="s">
        <v>200</v>
      </c>
      <c r="C43" s="2" t="s">
        <v>201</v>
      </c>
      <c r="D43" s="3" t="s">
        <v>202</v>
      </c>
      <c r="E43" s="2" t="s">
        <v>197</v>
      </c>
      <c r="F43" s="3" t="s">
        <v>203</v>
      </c>
      <c r="G43" s="10" t="s">
        <v>168</v>
      </c>
      <c r="H43" s="3" t="s">
        <v>199</v>
      </c>
    </row>
    <row r="44" ht="22" customHeight="1" spans="1:8">
      <c r="A44" s="6" t="s">
        <v>204</v>
      </c>
    </row>
    <row r="45" ht="42" customHeight="1" spans="1:8">
      <c r="A45" s="2">
        <v>37</v>
      </c>
      <c r="B45" s="3" t="s">
        <v>205</v>
      </c>
      <c r="C45" s="2" t="s">
        <v>206</v>
      </c>
      <c r="D45" s="3" t="s">
        <v>207</v>
      </c>
      <c r="E45" s="2" t="s">
        <v>72</v>
      </c>
      <c r="F45" s="3" t="s">
        <v>208</v>
      </c>
      <c r="G45" s="10" t="s">
        <v>168</v>
      </c>
      <c r="H45" s="3" t="s">
        <v>209</v>
      </c>
    </row>
    <row r="46" ht="42" customHeight="1" spans="1:8">
      <c r="A46" s="2">
        <v>38</v>
      </c>
      <c r="B46" s="3" t="s">
        <v>210</v>
      </c>
      <c r="C46" s="2" t="s">
        <v>211</v>
      </c>
      <c r="D46" s="3" t="s">
        <v>212</v>
      </c>
      <c r="E46" s="2" t="s">
        <v>213</v>
      </c>
      <c r="F46" s="3" t="s">
        <v>214</v>
      </c>
      <c r="G46" s="10" t="s">
        <v>168</v>
      </c>
      <c r="H46" s="3" t="s">
        <v>215</v>
      </c>
    </row>
    <row r="47" ht="42" customHeight="1" spans="1:8">
      <c r="A47" s="2">
        <v>39</v>
      </c>
      <c r="B47" s="3" t="s">
        <v>216</v>
      </c>
      <c r="C47" s="2" t="s">
        <v>217</v>
      </c>
      <c r="D47" s="3" t="s">
        <v>218</v>
      </c>
      <c r="E47" s="2" t="s">
        <v>156</v>
      </c>
      <c r="F47" s="3" t="s">
        <v>219</v>
      </c>
      <c r="G47" s="10" t="s">
        <v>168</v>
      </c>
      <c r="H47" s="3" t="s">
        <v>220</v>
      </c>
    </row>
    <row r="48" ht="42" customHeight="1" spans="1:8">
      <c r="A48" s="2">
        <v>40</v>
      </c>
      <c r="B48" s="3" t="s">
        <v>221</v>
      </c>
      <c r="C48" s="2" t="s">
        <v>62</v>
      </c>
      <c r="D48" s="3" t="s">
        <v>222</v>
      </c>
      <c r="E48" s="2" t="s">
        <v>36</v>
      </c>
      <c r="F48" s="3" t="s">
        <v>223</v>
      </c>
      <c r="G48" s="9" t="s">
        <v>98</v>
      </c>
      <c r="H48" s="3" t="s">
        <v>224</v>
      </c>
    </row>
  </sheetData>
  <autoFilter xmlns:etc="http://www.wps.cn/officeDocument/2017/etCustomData" ref="A3:H48" etc:filterBottomFollowUsedRange="0">
    <extLst/>
  </autoFilter>
  <mergeCells count="7">
    <mergeCell ref="A1:H1"/>
    <mergeCell ref="A2:H2"/>
    <mergeCell ref="A4:H4"/>
    <mergeCell ref="A13:H13"/>
    <mergeCell ref="A21:H21"/>
    <mergeCell ref="A33:H33"/>
    <mergeCell ref="A44:H4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13"/>
  <sheetViews>
    <sheetView workbookViewId="0">
      <selection activeCell="A1" sqref="A1"/>
    </sheetView>
  </sheetViews>
  <sheetFormatPr defaultColWidth="9" defaultRowHeight="14.4" outlineLevelCol="4"/>
  <cols>
    <col min="1" max="1" width="20" customWidth="1"/>
    <col min="2" max="2" width="40" customWidth="1"/>
    <col min="3" max="4" width="18" customWidth="1"/>
    <col min="5" max="5" width="40" customWidth="1"/>
  </cols>
  <sheetData>
    <row r="1" ht="16.2" spans="1:5">
      <c r="A1" s="1" t="s">
        <v>225</v>
      </c>
      <c r="B1" s="1" t="s">
        <v>226</v>
      </c>
      <c r="C1" s="1" t="s">
        <v>5</v>
      </c>
      <c r="D1" s="1" t="s">
        <v>6</v>
      </c>
      <c r="E1" s="1" t="s">
        <v>227</v>
      </c>
    </row>
    <row r="2" ht="30" customHeight="1" spans="1:5">
      <c r="A2" s="3" t="s">
        <v>228</v>
      </c>
      <c r="B2" s="3" t="s">
        <v>229</v>
      </c>
      <c r="C2" s="3" t="s">
        <v>62</v>
      </c>
      <c r="D2" s="3" t="s">
        <v>230</v>
      </c>
      <c r="E2" s="3" t="s">
        <v>231</v>
      </c>
    </row>
    <row r="3" ht="30" customHeight="1" spans="1:5">
      <c r="A3" s="3" t="s">
        <v>232</v>
      </c>
      <c r="B3" s="3" t="s">
        <v>233</v>
      </c>
      <c r="C3" s="3" t="s">
        <v>234</v>
      </c>
      <c r="D3" s="3" t="s">
        <v>235</v>
      </c>
      <c r="E3" s="3" t="s">
        <v>236</v>
      </c>
    </row>
    <row r="4" ht="30" customHeight="1" spans="1:5">
      <c r="A4" s="3" t="s">
        <v>237</v>
      </c>
      <c r="B4" s="3" t="s">
        <v>238</v>
      </c>
      <c r="C4" s="3" t="s">
        <v>77</v>
      </c>
      <c r="D4" s="3" t="s">
        <v>78</v>
      </c>
      <c r="E4" s="3" t="s">
        <v>239</v>
      </c>
    </row>
    <row r="5" ht="30" customHeight="1" spans="1:5">
      <c r="A5" s="3" t="s">
        <v>240</v>
      </c>
      <c r="B5" s="3" t="s">
        <v>115</v>
      </c>
      <c r="C5" s="3" t="s">
        <v>117</v>
      </c>
      <c r="D5" s="3" t="s">
        <v>84</v>
      </c>
      <c r="E5" s="3" t="s">
        <v>241</v>
      </c>
    </row>
    <row r="6" ht="30" customHeight="1" spans="1:5">
      <c r="A6" s="3" t="s">
        <v>242</v>
      </c>
      <c r="B6" s="3" t="s">
        <v>243</v>
      </c>
      <c r="C6" s="3" t="s">
        <v>83</v>
      </c>
      <c r="D6" s="3" t="s">
        <v>244</v>
      </c>
      <c r="E6" s="3" t="s">
        <v>90</v>
      </c>
    </row>
    <row r="7" ht="30" customHeight="1" spans="1:5">
      <c r="A7" s="3" t="s">
        <v>245</v>
      </c>
      <c r="B7" s="3" t="s">
        <v>246</v>
      </c>
      <c r="C7" s="3" t="s">
        <v>62</v>
      </c>
      <c r="D7" s="3" t="s">
        <v>230</v>
      </c>
      <c r="E7" s="3" t="s">
        <v>247</v>
      </c>
    </row>
    <row r="8" ht="30" customHeight="1" spans="1:5">
      <c r="A8" s="3" t="s">
        <v>248</v>
      </c>
      <c r="B8" s="3" t="s">
        <v>249</v>
      </c>
      <c r="C8" s="3" t="s">
        <v>250</v>
      </c>
      <c r="D8" s="3" t="s">
        <v>251</v>
      </c>
      <c r="E8" s="3" t="s">
        <v>252</v>
      </c>
    </row>
    <row r="9" ht="30" customHeight="1" spans="1:5">
      <c r="A9" s="3" t="s">
        <v>253</v>
      </c>
      <c r="B9" s="3" t="s">
        <v>120</v>
      </c>
      <c r="C9" s="3" t="s">
        <v>254</v>
      </c>
      <c r="D9" s="3" t="s">
        <v>123</v>
      </c>
      <c r="E9" s="3" t="s">
        <v>255</v>
      </c>
    </row>
    <row r="10" ht="30" customHeight="1" spans="1:5">
      <c r="A10" s="3" t="s">
        <v>256</v>
      </c>
      <c r="B10" s="3" t="s">
        <v>257</v>
      </c>
      <c r="C10" s="3" t="s">
        <v>258</v>
      </c>
      <c r="D10" s="3" t="s">
        <v>84</v>
      </c>
      <c r="E10" s="3" t="s">
        <v>259</v>
      </c>
    </row>
    <row r="11" ht="30" customHeight="1" spans="1:5">
      <c r="A11" s="3" t="s">
        <v>260</v>
      </c>
      <c r="B11" s="3" t="s">
        <v>243</v>
      </c>
      <c r="C11" s="3" t="s">
        <v>89</v>
      </c>
      <c r="D11" s="3" t="s">
        <v>261</v>
      </c>
      <c r="E11" s="3" t="s">
        <v>90</v>
      </c>
    </row>
    <row r="12" ht="30" customHeight="1" spans="1:5">
      <c r="A12" s="3" t="s">
        <v>262</v>
      </c>
      <c r="B12" s="3" t="s">
        <v>263</v>
      </c>
      <c r="C12" s="3" t="s">
        <v>264</v>
      </c>
      <c r="D12" s="3" t="s">
        <v>62</v>
      </c>
      <c r="E12" s="3" t="s">
        <v>265</v>
      </c>
    </row>
    <row r="13" ht="30" customHeight="1" spans="1:5">
      <c r="A13" s="3" t="s">
        <v>266</v>
      </c>
      <c r="B13" s="3" t="s">
        <v>267</v>
      </c>
      <c r="C13" s="3" t="s">
        <v>264</v>
      </c>
      <c r="D13" s="3" t="s">
        <v>62</v>
      </c>
      <c r="E13" s="3" t="s">
        <v>268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5"/>
  <sheetViews>
    <sheetView workbookViewId="0">
      <selection activeCell="A1" sqref="A1"/>
    </sheetView>
  </sheetViews>
  <sheetFormatPr defaultColWidth="9" defaultRowHeight="14.4" outlineLevelRow="4" outlineLevelCol="4"/>
  <cols>
    <col min="1" max="1" width="16" customWidth="1"/>
    <col min="2" max="2" width="25" customWidth="1"/>
    <col min="3" max="3" width="45" customWidth="1"/>
    <col min="4" max="4" width="35" customWidth="1"/>
    <col min="5" max="5" width="20" customWidth="1"/>
  </cols>
  <sheetData>
    <row r="1" ht="16.2" spans="1:5">
      <c r="A1" s="1" t="s">
        <v>269</v>
      </c>
      <c r="B1" s="1" t="s">
        <v>270</v>
      </c>
      <c r="C1" s="1" t="s">
        <v>271</v>
      </c>
      <c r="D1" s="1" t="s">
        <v>272</v>
      </c>
      <c r="E1" s="1" t="s">
        <v>273</v>
      </c>
    </row>
    <row r="2" ht="60" customHeight="1" spans="1:5">
      <c r="A2" s="3" t="s">
        <v>274</v>
      </c>
      <c r="B2" s="3" t="s">
        <v>275</v>
      </c>
      <c r="C2" s="3" t="s">
        <v>276</v>
      </c>
      <c r="D2" s="3" t="s">
        <v>277</v>
      </c>
      <c r="E2" s="3" t="s">
        <v>278</v>
      </c>
    </row>
    <row r="3" ht="60" customHeight="1" spans="1:5">
      <c r="A3" s="3" t="s">
        <v>279</v>
      </c>
      <c r="B3" s="3" t="s">
        <v>280</v>
      </c>
      <c r="C3" s="3" t="s">
        <v>281</v>
      </c>
      <c r="D3" s="3" t="s">
        <v>282</v>
      </c>
      <c r="E3" s="3" t="s">
        <v>283</v>
      </c>
    </row>
    <row r="4" ht="60" customHeight="1" spans="1:5">
      <c r="A4" s="3" t="s">
        <v>284</v>
      </c>
      <c r="B4" s="3" t="s">
        <v>285</v>
      </c>
      <c r="C4" s="3" t="s">
        <v>286</v>
      </c>
      <c r="D4" s="3" t="s">
        <v>287</v>
      </c>
      <c r="E4" s="3" t="s">
        <v>288</v>
      </c>
    </row>
    <row r="5" ht="60" customHeight="1" spans="1:5">
      <c r="A5" s="3" t="s">
        <v>289</v>
      </c>
      <c r="B5" s="3" t="s">
        <v>290</v>
      </c>
      <c r="C5" s="3" t="s">
        <v>291</v>
      </c>
      <c r="D5" s="3" t="s">
        <v>292</v>
      </c>
      <c r="E5" s="3" t="s">
        <v>293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D21"/>
  <sheetViews>
    <sheetView workbookViewId="0">
      <selection activeCell="A1" sqref="A1"/>
    </sheetView>
  </sheetViews>
  <sheetFormatPr defaultColWidth="9" defaultRowHeight="14.4" outlineLevelCol="3"/>
  <cols>
    <col min="1" max="1" width="25" customWidth="1"/>
    <col min="2" max="2" width="20" customWidth="1"/>
    <col min="3" max="3" width="12" customWidth="1"/>
    <col min="4" max="4" width="45" customWidth="1"/>
  </cols>
  <sheetData>
    <row r="1" ht="16.2" spans="1:4">
      <c r="A1" s="1" t="s">
        <v>294</v>
      </c>
      <c r="B1" s="1" t="s">
        <v>295</v>
      </c>
      <c r="C1" s="1" t="s">
        <v>6</v>
      </c>
      <c r="D1" s="1" t="s">
        <v>296</v>
      </c>
    </row>
    <row r="2" ht="24" customHeight="1" spans="1:4">
      <c r="A2" s="2" t="s">
        <v>297</v>
      </c>
      <c r="B2" s="2" t="s">
        <v>298</v>
      </c>
      <c r="C2" s="2" t="s">
        <v>299</v>
      </c>
      <c r="D2" s="3" t="s">
        <v>300</v>
      </c>
    </row>
    <row r="3" ht="24" customHeight="1" spans="1:4">
      <c r="A3" s="2" t="s">
        <v>301</v>
      </c>
      <c r="B3" s="2" t="s">
        <v>302</v>
      </c>
      <c r="C3" s="2" t="s">
        <v>303</v>
      </c>
      <c r="D3" s="3" t="s">
        <v>304</v>
      </c>
    </row>
    <row r="4" ht="24" customHeight="1" spans="1:4">
      <c r="A4" s="2" t="s">
        <v>305</v>
      </c>
      <c r="B4" s="2" t="s">
        <v>306</v>
      </c>
      <c r="C4" s="2" t="s">
        <v>307</v>
      </c>
      <c r="D4" s="3" t="s">
        <v>308</v>
      </c>
    </row>
    <row r="5" ht="24" customHeight="1" spans="1:4">
      <c r="A5" s="2" t="s">
        <v>309</v>
      </c>
      <c r="B5" s="2" t="s">
        <v>310</v>
      </c>
      <c r="C5" s="2" t="s">
        <v>307</v>
      </c>
      <c r="D5" s="3" t="s">
        <v>311</v>
      </c>
    </row>
    <row r="6" ht="24" customHeight="1" spans="1:4">
      <c r="A6" s="2" t="s">
        <v>312</v>
      </c>
      <c r="B6" s="2" t="s">
        <v>313</v>
      </c>
      <c r="C6" s="2" t="s">
        <v>156</v>
      </c>
      <c r="D6" s="3" t="s">
        <v>314</v>
      </c>
    </row>
    <row r="7" ht="24" customHeight="1" spans="1:4">
      <c r="A7" s="2" t="s">
        <v>315</v>
      </c>
      <c r="B7" s="2" t="s">
        <v>316</v>
      </c>
      <c r="C7" s="2" t="s">
        <v>156</v>
      </c>
      <c r="D7" s="3" t="s">
        <v>317</v>
      </c>
    </row>
    <row r="8" ht="24" customHeight="1" spans="1:4">
      <c r="A8" s="2" t="s">
        <v>318</v>
      </c>
      <c r="B8" s="2" t="s">
        <v>319</v>
      </c>
      <c r="C8" s="2" t="s">
        <v>320</v>
      </c>
      <c r="D8" s="3" t="s">
        <v>321</v>
      </c>
    </row>
    <row r="9" ht="24" customHeight="1" spans="1:4">
      <c r="A9" s="2" t="s">
        <v>322</v>
      </c>
      <c r="B9" s="2" t="s">
        <v>323</v>
      </c>
      <c r="C9" s="2" t="s">
        <v>320</v>
      </c>
      <c r="D9" s="3" t="s">
        <v>324</v>
      </c>
    </row>
    <row r="10" ht="24" customHeight="1" spans="1:4">
      <c r="A10" s="2" t="s">
        <v>325</v>
      </c>
      <c r="B10" s="2" t="s">
        <v>326</v>
      </c>
      <c r="C10" s="2" t="s">
        <v>320</v>
      </c>
      <c r="D10" s="3" t="s">
        <v>327</v>
      </c>
    </row>
    <row r="11" ht="24" customHeight="1" spans="1:4">
      <c r="A11" s="2" t="s">
        <v>328</v>
      </c>
      <c r="B11" s="2" t="s">
        <v>329</v>
      </c>
      <c r="C11" s="2" t="s">
        <v>320</v>
      </c>
      <c r="D11" s="3" t="s">
        <v>330</v>
      </c>
    </row>
    <row r="12" ht="24" customHeight="1" spans="1:4">
      <c r="A12" s="2" t="s">
        <v>331</v>
      </c>
      <c r="B12" s="2" t="s">
        <v>332</v>
      </c>
      <c r="C12" s="2" t="s">
        <v>197</v>
      </c>
      <c r="D12" s="3" t="s">
        <v>333</v>
      </c>
    </row>
    <row r="13" ht="24" customHeight="1" spans="1:4">
      <c r="A13" s="2" t="s">
        <v>334</v>
      </c>
      <c r="B13" s="2" t="s">
        <v>335</v>
      </c>
      <c r="C13" s="2" t="s">
        <v>336</v>
      </c>
      <c r="D13" s="3" t="s">
        <v>337</v>
      </c>
    </row>
    <row r="14" ht="24" customHeight="1" spans="1:4">
      <c r="A14" s="2" t="s">
        <v>338</v>
      </c>
      <c r="B14" s="2" t="s">
        <v>339</v>
      </c>
      <c r="C14" s="2" t="s">
        <v>336</v>
      </c>
      <c r="D14" s="3" t="s">
        <v>340</v>
      </c>
    </row>
    <row r="15" ht="24" customHeight="1" spans="1:4">
      <c r="A15" s="2" t="s">
        <v>341</v>
      </c>
      <c r="B15" s="2" t="s">
        <v>342</v>
      </c>
      <c r="C15" s="2" t="s">
        <v>343</v>
      </c>
      <c r="D15" s="3" t="s">
        <v>344</v>
      </c>
    </row>
    <row r="16" ht="24" customHeight="1" spans="1:4">
      <c r="A16" s="2" t="s">
        <v>345</v>
      </c>
      <c r="B16" s="2" t="s">
        <v>346</v>
      </c>
      <c r="C16" s="2" t="s">
        <v>156</v>
      </c>
      <c r="D16" s="3" t="s">
        <v>347</v>
      </c>
    </row>
    <row r="17" ht="24" customHeight="1" spans="1:4">
      <c r="A17" s="2" t="s">
        <v>348</v>
      </c>
      <c r="B17" s="2" t="s">
        <v>349</v>
      </c>
      <c r="C17" s="2" t="s">
        <v>156</v>
      </c>
      <c r="D17" s="3" t="s">
        <v>350</v>
      </c>
    </row>
    <row r="18" ht="24" customHeight="1" spans="1:4">
      <c r="A18" s="2" t="s">
        <v>194</v>
      </c>
      <c r="B18" s="2" t="s">
        <v>196</v>
      </c>
      <c r="C18" s="2" t="s">
        <v>197</v>
      </c>
      <c r="D18" s="3" t="s">
        <v>252</v>
      </c>
    </row>
    <row r="19" ht="24" customHeight="1" spans="1:4">
      <c r="A19" s="2" t="s">
        <v>200</v>
      </c>
      <c r="B19" s="2" t="s">
        <v>202</v>
      </c>
      <c r="C19" s="2" t="s">
        <v>197</v>
      </c>
      <c r="D19" s="3" t="s">
        <v>252</v>
      </c>
    </row>
    <row r="20" ht="24" customHeight="1" spans="1:4">
      <c r="A20" s="2" t="s">
        <v>351</v>
      </c>
      <c r="B20" s="2" t="s">
        <v>352</v>
      </c>
      <c r="C20" s="2" t="s">
        <v>62</v>
      </c>
      <c r="D20" s="3" t="s">
        <v>353</v>
      </c>
    </row>
    <row r="21" ht="24" customHeight="1" spans="1:4">
      <c r="A21" s="2" t="s">
        <v>354</v>
      </c>
      <c r="B21" s="2" t="s">
        <v>355</v>
      </c>
      <c r="C21" s="2" t="s">
        <v>62</v>
      </c>
      <c r="D21" s="3" t="s">
        <v>356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碳核算数据来源清单</vt:lpstr>
      <vt:lpstr>范围一排放因子速查</vt:lpstr>
      <vt:lpstr>三账核算输入对照</vt:lpstr>
      <vt:lpstr>模块二关键结果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王雅妮</cp:lastModifiedBy>
  <dcterms:created xsi:type="dcterms:W3CDTF">2026-08-19T02:41:00Z</dcterms:created>
  <dcterms:modified xsi:type="dcterms:W3CDTF">2026-08-19T02:45:47Z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64018705","ProduceID":"3031793646700867_0/project_7669407134135632191-files/碳核算数据来源清单_20260819.xlsx","ReservedCode1":"","ContentPropagator":"001191110102MACQD9K64028705","PropagateID":"3031793646700867#1787107331177","ReservedCode2":""}</vt:lpwstr>
  </property>
  <property fmtid="{D5CDD505-2E9C-101B-9397-08002B2CF9AE}" pid="3" name="ICV">
    <vt:lpwstr>5A3149F789574464B1F024C7E69D9726_12</vt:lpwstr>
  </property>
  <property fmtid="{D5CDD505-2E9C-101B-9397-08002B2CF9AE}" pid="4" name="KSOProductBuildVer">
    <vt:lpwstr>2052-12.1.0.26899</vt:lpwstr>
  </property>
  <property fmtid="{D5CDD505-2E9C-101B-9397-08002B2CF9AE}" pid="5" name="CalculationRule">
    <vt:i4>0</vt:i4>
  </property>
</Properties>
</file>